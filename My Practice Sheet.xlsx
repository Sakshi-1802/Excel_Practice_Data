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0c8b3e979c30d6/Desktop/DA Notes/"/>
    </mc:Choice>
  </mc:AlternateContent>
  <xr:revisionPtr revIDLastSave="339" documentId="13_ncr:1_{24A8CE61-4450-4CE9-9F9F-DCEE907B64F1}" xr6:coauthVersionLast="47" xr6:coauthVersionMax="47" xr10:uidLastSave="{AC582E60-64F7-49E2-AED3-B5A08BE23FBF}"/>
  <bookViews>
    <workbookView xWindow="-108" yWindow="-108" windowWidth="23256" windowHeight="12456" firstSheet="3" activeTab="8" xr2:uid="{47161115-D070-4DF7-9715-29F83F14FA52}"/>
  </bookViews>
  <sheets>
    <sheet name="Day 3" sheetId="1" r:id="rId1"/>
    <sheet name="Day 4" sheetId="2" r:id="rId2"/>
    <sheet name="maths basic" sheetId="3" r:id="rId3"/>
    <sheet name="Day 5" sheetId="4" r:id="rId4"/>
    <sheet name="Re-Practice All" sheetId="5" r:id="rId5"/>
    <sheet name="Day 6" sheetId="6" r:id="rId6"/>
    <sheet name="Sheet1" sheetId="7" r:id="rId7"/>
    <sheet name="String Function" sheetId="8" r:id="rId8"/>
    <sheet name="Re Practice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1" i="9" l="1"/>
  <c r="H89" i="9"/>
  <c r="H87" i="9"/>
  <c r="H85" i="9"/>
  <c r="H83" i="9"/>
  <c r="H81" i="9"/>
  <c r="H79" i="9"/>
  <c r="H77" i="9"/>
  <c r="H75" i="9"/>
  <c r="H73" i="9"/>
  <c r="H71" i="9"/>
  <c r="H69" i="9"/>
  <c r="H67" i="9"/>
  <c r="H65" i="9"/>
  <c r="H63" i="9"/>
  <c r="H61" i="9"/>
  <c r="H58" i="9"/>
  <c r="H56" i="9"/>
  <c r="H51" i="9"/>
  <c r="H52" i="9"/>
  <c r="H53" i="9"/>
  <c r="H50" i="9"/>
  <c r="H45" i="9"/>
  <c r="H38" i="9"/>
  <c r="H33" i="9"/>
  <c r="H28" i="9"/>
  <c r="H23" i="9"/>
  <c r="H18" i="9"/>
  <c r="H13" i="9"/>
  <c r="H8" i="9"/>
  <c r="H3" i="9"/>
  <c r="I70" i="8"/>
  <c r="I68" i="8"/>
  <c r="I64" i="8"/>
  <c r="I66" i="8"/>
  <c r="I62" i="8"/>
  <c r="I60" i="8"/>
  <c r="I58" i="8"/>
  <c r="I56" i="8"/>
  <c r="I54" i="8"/>
  <c r="I52" i="8"/>
  <c r="I50" i="8"/>
  <c r="I48" i="8"/>
  <c r="I46" i="8"/>
  <c r="I44" i="8"/>
  <c r="I42" i="8"/>
  <c r="I40" i="8"/>
  <c r="I35" i="8"/>
  <c r="I33" i="8"/>
  <c r="I31" i="8"/>
  <c r="I29" i="8"/>
  <c r="I27" i="8"/>
  <c r="I25" i="8"/>
  <c r="I24" i="8"/>
  <c r="I22" i="8"/>
  <c r="I20" i="8"/>
  <c r="I18" i="8"/>
  <c r="I16" i="8"/>
  <c r="I14" i="8"/>
  <c r="I12" i="8"/>
  <c r="I10" i="8"/>
  <c r="I6" i="8"/>
  <c r="I8" i="8"/>
  <c r="I4" i="8"/>
  <c r="H67" i="7"/>
  <c r="I68" i="7"/>
  <c r="I69" i="7"/>
  <c r="I70" i="7"/>
  <c r="I67" i="7"/>
  <c r="H68" i="7"/>
  <c r="H69" i="7"/>
  <c r="H70" i="7"/>
  <c r="K34" i="7"/>
  <c r="K26" i="7"/>
  <c r="K24" i="7"/>
  <c r="G58" i="7"/>
  <c r="G59" i="7"/>
  <c r="G60" i="7"/>
  <c r="G57" i="7"/>
  <c r="F53" i="7"/>
  <c r="F46" i="7"/>
  <c r="F45" i="7"/>
  <c r="F37" i="7"/>
  <c r="F29" i="7"/>
  <c r="M15" i="7"/>
  <c r="M16" i="7"/>
  <c r="M17" i="7"/>
  <c r="M18" i="7"/>
  <c r="M14" i="7"/>
  <c r="M7" i="7"/>
  <c r="M6" i="7"/>
  <c r="M8" i="7"/>
  <c r="M9" i="7"/>
  <c r="M10" i="7"/>
  <c r="G17" i="7"/>
  <c r="G16" i="7"/>
  <c r="G18" i="7"/>
  <c r="G19" i="7"/>
  <c r="G15" i="7"/>
  <c r="F10" i="7"/>
  <c r="I18" i="6"/>
  <c r="I19" i="6"/>
  <c r="I20" i="6"/>
  <c r="I21" i="6"/>
  <c r="I17" i="6"/>
  <c r="F25" i="6"/>
  <c r="D24" i="6"/>
  <c r="E23" i="6"/>
  <c r="D22" i="6"/>
  <c r="H18" i="6"/>
  <c r="H19" i="6"/>
  <c r="H20" i="6"/>
  <c r="H21" i="6"/>
  <c r="H17" i="6"/>
  <c r="G18" i="6"/>
  <c r="G19" i="6"/>
  <c r="G20" i="6"/>
  <c r="G21" i="6"/>
  <c r="G17" i="6"/>
  <c r="E7" i="6"/>
  <c r="E8" i="6"/>
  <c r="E9" i="6"/>
  <c r="E10" i="6"/>
  <c r="E6" i="6"/>
  <c r="D13" i="6"/>
  <c r="D12" i="6"/>
  <c r="D11" i="6"/>
  <c r="J7" i="5"/>
  <c r="J8" i="5"/>
  <c r="J9" i="5"/>
  <c r="J6" i="5"/>
  <c r="J5" i="5"/>
  <c r="K6" i="5"/>
  <c r="K7" i="5"/>
  <c r="K8" i="5"/>
  <c r="K9" i="5"/>
  <c r="K5" i="5"/>
  <c r="I6" i="5"/>
  <c r="I7" i="5"/>
  <c r="I8" i="5"/>
  <c r="I9" i="5"/>
  <c r="I5" i="5"/>
  <c r="F14" i="4"/>
  <c r="F15" i="4"/>
  <c r="F13" i="4"/>
  <c r="G6" i="4"/>
  <c r="G7" i="4"/>
  <c r="G8" i="4"/>
  <c r="G5" i="4"/>
  <c r="G4" i="4"/>
  <c r="F7" i="4"/>
  <c r="F8" i="4"/>
  <c r="F5" i="4"/>
  <c r="F6" i="4"/>
  <c r="F4" i="4"/>
  <c r="E4" i="4"/>
  <c r="E5" i="4"/>
  <c r="E6" i="4"/>
  <c r="E7" i="4"/>
  <c r="E8" i="4"/>
  <c r="E5" i="3"/>
  <c r="E4" i="3"/>
  <c r="D4" i="3"/>
  <c r="D5" i="3"/>
</calcChain>
</file>

<file path=xl/sharedStrings.xml><?xml version="1.0" encoding="utf-8"?>
<sst xmlns="http://schemas.openxmlformats.org/spreadsheetml/2006/main" count="333" uniqueCount="171">
  <si>
    <t>ID</t>
  </si>
  <si>
    <t>Name</t>
  </si>
  <si>
    <t>Qty</t>
  </si>
  <si>
    <t>User1</t>
  </si>
  <si>
    <t>User2</t>
  </si>
  <si>
    <t>User3</t>
  </si>
  <si>
    <t>User4</t>
  </si>
  <si>
    <t>User5</t>
  </si>
  <si>
    <t>february</t>
  </si>
  <si>
    <t>Flower is beautiful</t>
  </si>
  <si>
    <t>Information</t>
  </si>
  <si>
    <t>Header</t>
  </si>
  <si>
    <t>Row</t>
  </si>
  <si>
    <t>This is a info that User1 has 5 qty</t>
  </si>
  <si>
    <t>This is a info that User2 has 10 qty</t>
  </si>
  <si>
    <t>This is a info that User3 has 15 qty</t>
  </si>
  <si>
    <t>This is a info that User4 has 20 qty</t>
  </si>
  <si>
    <t>This is a info that User5 has 25 qty</t>
  </si>
  <si>
    <t>Day 3</t>
  </si>
  <si>
    <t>Id</t>
  </si>
  <si>
    <t>user1</t>
  </si>
  <si>
    <t>user2</t>
  </si>
  <si>
    <t>user3</t>
  </si>
  <si>
    <t>user4</t>
  </si>
  <si>
    <t>abc</t>
  </si>
  <si>
    <t>a</t>
  </si>
  <si>
    <t>b</t>
  </si>
  <si>
    <t>c</t>
  </si>
  <si>
    <t>def</t>
  </si>
  <si>
    <t>ghi</t>
  </si>
  <si>
    <t>add</t>
  </si>
  <si>
    <t>sub</t>
  </si>
  <si>
    <t>div</t>
  </si>
  <si>
    <t>mul</t>
  </si>
  <si>
    <t>Item</t>
  </si>
  <si>
    <t>Quantity</t>
  </si>
  <si>
    <t>Price Per Unit</t>
  </si>
  <si>
    <t>Total</t>
  </si>
  <si>
    <t>Tax(18%)</t>
  </si>
  <si>
    <t>Grand Total</t>
  </si>
  <si>
    <t>Laptop</t>
  </si>
  <si>
    <t>Mobile</t>
  </si>
  <si>
    <t>HeadPhones</t>
  </si>
  <si>
    <t>Monitor</t>
  </si>
  <si>
    <t>Keyboard</t>
  </si>
  <si>
    <t>Tax</t>
  </si>
  <si>
    <t>Product</t>
  </si>
  <si>
    <t>Price</t>
  </si>
  <si>
    <t xml:space="preserve">Tax Rate </t>
  </si>
  <si>
    <t>Tax Amount</t>
  </si>
  <si>
    <t>Ticket No</t>
  </si>
  <si>
    <t>Passenger Name</t>
  </si>
  <si>
    <t>from</t>
  </si>
  <si>
    <t>To</t>
  </si>
  <si>
    <t>Rohan</t>
  </si>
  <si>
    <t>Sneha</t>
  </si>
  <si>
    <t>Amit</t>
  </si>
  <si>
    <t>Priya</t>
  </si>
  <si>
    <t>Karan</t>
  </si>
  <si>
    <t>Nagpur</t>
  </si>
  <si>
    <t>Wardha</t>
  </si>
  <si>
    <t>Amravati</t>
  </si>
  <si>
    <t>Chandrapur</t>
  </si>
  <si>
    <t>Gondia</t>
  </si>
  <si>
    <t>Distance</t>
  </si>
  <si>
    <t>Fare per KM</t>
  </si>
  <si>
    <t>Total fare</t>
  </si>
  <si>
    <t>GST (5%)</t>
  </si>
  <si>
    <t>Final Amount</t>
  </si>
  <si>
    <t>gst</t>
  </si>
  <si>
    <t>Min</t>
  </si>
  <si>
    <t>Max</t>
  </si>
  <si>
    <t>Avg</t>
  </si>
  <si>
    <t>Rank</t>
  </si>
  <si>
    <t>Student Name</t>
  </si>
  <si>
    <t>Marks</t>
  </si>
  <si>
    <t>Neha</t>
  </si>
  <si>
    <t>Rahul</t>
  </si>
  <si>
    <t>Maths</t>
  </si>
  <si>
    <t>Science</t>
  </si>
  <si>
    <t>English</t>
  </si>
  <si>
    <t>Total Marks</t>
  </si>
  <si>
    <t>Average Marks</t>
  </si>
  <si>
    <t>Highest Marks</t>
  </si>
  <si>
    <t>Lowest Marks</t>
  </si>
  <si>
    <t>Total Marks in Maths</t>
  </si>
  <si>
    <t>Average in English</t>
  </si>
  <si>
    <t>sumProduct</t>
  </si>
  <si>
    <t>Rand</t>
  </si>
  <si>
    <t>RandBetween</t>
  </si>
  <si>
    <t>Day 7</t>
  </si>
  <si>
    <t>Pen</t>
  </si>
  <si>
    <t>Book</t>
  </si>
  <si>
    <t>Pencil</t>
  </si>
  <si>
    <t>Bag</t>
  </si>
  <si>
    <t>SumProduct</t>
  </si>
  <si>
    <t>Student</t>
  </si>
  <si>
    <t>Random Marks</t>
  </si>
  <si>
    <t>A</t>
  </si>
  <si>
    <t>B</t>
  </si>
  <si>
    <t>C</t>
  </si>
  <si>
    <t>D</t>
  </si>
  <si>
    <t>E</t>
  </si>
  <si>
    <t>Practice Questions</t>
  </si>
  <si>
    <t>Sales</t>
  </si>
  <si>
    <t>Total Sales</t>
  </si>
  <si>
    <t>Sum</t>
  </si>
  <si>
    <t>Average</t>
  </si>
  <si>
    <t>Employee</t>
  </si>
  <si>
    <t>Salary</t>
  </si>
  <si>
    <t>Count</t>
  </si>
  <si>
    <t>Gst</t>
  </si>
  <si>
    <t xml:space="preserve">Value </t>
  </si>
  <si>
    <t>Output</t>
  </si>
  <si>
    <t>Function</t>
  </si>
  <si>
    <t>Left</t>
  </si>
  <si>
    <t>Sakshi</t>
  </si>
  <si>
    <t>Right</t>
  </si>
  <si>
    <t>Mid</t>
  </si>
  <si>
    <t>Len</t>
  </si>
  <si>
    <t>Excel</t>
  </si>
  <si>
    <t>Upper</t>
  </si>
  <si>
    <t>sakshi</t>
  </si>
  <si>
    <t>Lower</t>
  </si>
  <si>
    <t>SAKSHI</t>
  </si>
  <si>
    <t>Proper</t>
  </si>
  <si>
    <t>sakshi hiwarkar</t>
  </si>
  <si>
    <t>Trim</t>
  </si>
  <si>
    <t xml:space="preserve">  Excel Data </t>
  </si>
  <si>
    <t>Concat</t>
  </si>
  <si>
    <t>Hiwarkar</t>
  </si>
  <si>
    <t>TextJoin</t>
  </si>
  <si>
    <t>Data</t>
  </si>
  <si>
    <t>Analyst</t>
  </si>
  <si>
    <t>Find</t>
  </si>
  <si>
    <t>Satish</t>
  </si>
  <si>
    <t>Search</t>
  </si>
  <si>
    <t>Replace</t>
  </si>
  <si>
    <t>Substitue</t>
  </si>
  <si>
    <t>Data Analyst</t>
  </si>
  <si>
    <t>Text</t>
  </si>
  <si>
    <t>Value</t>
  </si>
  <si>
    <t>"500"</t>
  </si>
  <si>
    <t xml:space="preserve">function </t>
  </si>
  <si>
    <t xml:space="preserve">Value  </t>
  </si>
  <si>
    <t>DataAnalyst</t>
  </si>
  <si>
    <t>ExcelPractice</t>
  </si>
  <si>
    <t>data analyst</t>
  </si>
  <si>
    <t>EXCEL FORMULA</t>
  </si>
  <si>
    <t xml:space="preserve">     Data Analyst</t>
  </si>
  <si>
    <t>Excel Analyst</t>
  </si>
  <si>
    <t>Vaibhav</t>
  </si>
  <si>
    <t xml:space="preserve">Method </t>
  </si>
  <si>
    <t>Sum Product</t>
  </si>
  <si>
    <t>Rand Between</t>
  </si>
  <si>
    <t>textual fundtion</t>
  </si>
  <si>
    <t>Analytics</t>
  </si>
  <si>
    <t>Dashboard</t>
  </si>
  <si>
    <t>DataScience</t>
  </si>
  <si>
    <t>EXCEL TRAINING</t>
  </si>
  <si>
    <t>data analyst course</t>
  </si>
  <si>
    <t xml:space="preserve">   Excel    Training</t>
  </si>
  <si>
    <t>DataAnalytics</t>
  </si>
  <si>
    <t>Data123</t>
  </si>
  <si>
    <t>Substitute</t>
  </si>
  <si>
    <t>Excel is good, Excel is easy</t>
  </si>
  <si>
    <t>Exact</t>
  </si>
  <si>
    <t>excel</t>
  </si>
  <si>
    <t>CHAR</t>
  </si>
  <si>
    <t>Clean</t>
  </si>
  <si>
    <t>Data
Analayst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</si>
</sst>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0"/>
      <color theme="1"/>
      <name val="Arial Unicode MS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0" xfId="0" applyFill="1"/>
    <xf numFmtId="0" fontId="0" fillId="0" borderId="0" xfId="0" applyAlignment="1">
      <alignment wrapText="1"/>
    </xf>
    <xf numFmtId="1" fontId="0" fillId="3" borderId="1" xfId="0" applyNumberFormat="1" applyFill="1" applyBorder="1" applyAlignment="1">
      <alignment horizontal="left" vertical="top"/>
    </xf>
    <xf numFmtId="49" fontId="0" fillId="3" borderId="1" xfId="0" applyNumberFormat="1" applyFill="1" applyBorder="1" applyAlignment="1">
      <alignment horizontal="left" vertical="top"/>
    </xf>
    <xf numFmtId="0" fontId="0" fillId="4" borderId="0" xfId="0" applyFill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4" borderId="1" xfId="0" applyFill="1" applyBorder="1"/>
    <xf numFmtId="9" fontId="0" fillId="0" borderId="0" xfId="0" applyNumberFormat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1" fontId="0" fillId="11" borderId="1" xfId="0" applyNumberFormat="1" applyFill="1" applyBorder="1"/>
    <xf numFmtId="49" fontId="0" fillId="11" borderId="1" xfId="0" applyNumberFormat="1" applyFill="1" applyBorder="1"/>
    <xf numFmtId="0" fontId="0" fillId="12" borderId="1" xfId="0" applyFill="1" applyBorder="1"/>
    <xf numFmtId="0" fontId="0" fillId="13" borderId="1" xfId="0" applyFill="1" applyBorder="1"/>
    <xf numFmtId="0" fontId="0" fillId="0" borderId="1" xfId="0" applyBorder="1"/>
    <xf numFmtId="0" fontId="0" fillId="14" borderId="0" xfId="0" applyFill="1"/>
    <xf numFmtId="0" fontId="0" fillId="2" borderId="2" xfId="0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8" borderId="0" xfId="0" applyFill="1" applyAlignment="1">
      <alignment vertical="center" wrapText="1"/>
    </xf>
    <xf numFmtId="0" fontId="0" fillId="15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A9D3-AE89-47D4-BAB1-31281C266490}">
  <dimension ref="A1:J12"/>
  <sheetViews>
    <sheetView topLeftCell="A11" workbookViewId="0">
      <selection activeCell="M9" sqref="M9"/>
    </sheetView>
  </sheetViews>
  <sheetFormatPr defaultRowHeight="14.4"/>
  <cols>
    <col min="4" max="4" width="10.77734375" customWidth="1"/>
    <col min="5" max="5" width="11.5546875" customWidth="1"/>
    <col min="6" max="6" width="11.6640625" customWidth="1"/>
    <col min="7" max="7" width="15.5546875" customWidth="1"/>
  </cols>
  <sheetData>
    <row r="1" spans="1:10">
      <c r="E1" s="7" t="s">
        <v>18</v>
      </c>
    </row>
    <row r="3" spans="1:10">
      <c r="D3" s="1" t="s">
        <v>0</v>
      </c>
      <c r="E3" s="1" t="s">
        <v>1</v>
      </c>
      <c r="F3" s="1" t="s">
        <v>2</v>
      </c>
      <c r="G3" s="3" t="s">
        <v>10</v>
      </c>
    </row>
    <row r="4" spans="1:10" ht="28.8">
      <c r="D4" s="5">
        <v>1</v>
      </c>
      <c r="E4" s="6" t="s">
        <v>3</v>
      </c>
      <c r="F4" s="5">
        <v>5</v>
      </c>
      <c r="G4" s="4" t="s">
        <v>13</v>
      </c>
      <c r="I4" s="1"/>
      <c r="J4" t="s">
        <v>11</v>
      </c>
    </row>
    <row r="5" spans="1:10" ht="28.8">
      <c r="D5" s="5">
        <v>2</v>
      </c>
      <c r="E5" s="6" t="s">
        <v>4</v>
      </c>
      <c r="F5" s="5">
        <v>10</v>
      </c>
      <c r="G5" s="4" t="s">
        <v>14</v>
      </c>
      <c r="I5" s="2"/>
      <c r="J5" t="s">
        <v>12</v>
      </c>
    </row>
    <row r="6" spans="1:10" ht="28.8">
      <c r="D6" s="5">
        <v>3</v>
      </c>
      <c r="E6" s="6" t="s">
        <v>5</v>
      </c>
      <c r="F6" s="5">
        <v>15</v>
      </c>
      <c r="G6" s="4" t="s">
        <v>15</v>
      </c>
    </row>
    <row r="7" spans="1:10" ht="28.8">
      <c r="D7" s="5">
        <v>4</v>
      </c>
      <c r="E7" s="6" t="s">
        <v>6</v>
      </c>
      <c r="F7" s="5">
        <v>20</v>
      </c>
      <c r="G7" s="4" t="s">
        <v>16</v>
      </c>
    </row>
    <row r="8" spans="1:10" ht="28.8">
      <c r="D8" s="5">
        <v>5</v>
      </c>
      <c r="E8" s="6" t="s">
        <v>7</v>
      </c>
      <c r="F8" s="5">
        <v>25</v>
      </c>
      <c r="G8" s="4" t="s">
        <v>17</v>
      </c>
    </row>
    <row r="12" spans="1:10">
      <c r="A12" t="s">
        <v>8</v>
      </c>
      <c r="C12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641E0-2FCE-4894-8CEF-9CAC9EEA3762}">
  <dimension ref="A2:H19"/>
  <sheetViews>
    <sheetView workbookViewId="0">
      <selection activeCell="E9" sqref="E9:G10"/>
    </sheetView>
  </sheetViews>
  <sheetFormatPr defaultRowHeight="14.4"/>
  <sheetData>
    <row r="2" spans="1:8">
      <c r="A2" s="8" t="s">
        <v>19</v>
      </c>
      <c r="B2" s="8" t="s">
        <v>1</v>
      </c>
    </row>
    <row r="3" spans="1:8">
      <c r="A3" s="9">
        <v>1</v>
      </c>
      <c r="B3" s="9" t="s">
        <v>20</v>
      </c>
    </row>
    <row r="4" spans="1:8">
      <c r="A4" s="9">
        <v>2</v>
      </c>
      <c r="B4" s="9" t="s">
        <v>21</v>
      </c>
      <c r="F4" s="11"/>
      <c r="G4" s="11"/>
      <c r="H4" s="11"/>
    </row>
    <row r="5" spans="1:8">
      <c r="A5" s="9">
        <v>3</v>
      </c>
      <c r="B5" s="9" t="s">
        <v>22</v>
      </c>
      <c r="F5" s="11"/>
      <c r="G5" s="11"/>
      <c r="H5" s="11"/>
    </row>
    <row r="6" spans="1:8">
      <c r="A6" s="9">
        <v>4</v>
      </c>
      <c r="B6" s="9" t="s">
        <v>23</v>
      </c>
      <c r="F6" s="11"/>
      <c r="G6" s="11"/>
      <c r="H6" s="11"/>
    </row>
    <row r="9" spans="1:8">
      <c r="E9" s="10"/>
      <c r="F9" s="10"/>
      <c r="G9" s="10"/>
    </row>
    <row r="10" spans="1:8">
      <c r="E10" s="10"/>
      <c r="F10" s="10"/>
      <c r="G10" s="10"/>
    </row>
    <row r="11" spans="1:8">
      <c r="A11" s="10"/>
      <c r="B11" s="10"/>
      <c r="C11" s="10"/>
    </row>
    <row r="12" spans="1:8">
      <c r="A12" s="10"/>
      <c r="B12" s="10"/>
      <c r="C12" s="10"/>
    </row>
    <row r="13" spans="1:8">
      <c r="A13" s="10"/>
      <c r="B13" s="10"/>
      <c r="C13" s="10"/>
    </row>
    <row r="14" spans="1:8">
      <c r="A14" s="10" t="s">
        <v>24</v>
      </c>
      <c r="B14" s="10"/>
      <c r="C14" s="10"/>
    </row>
    <row r="15" spans="1:8">
      <c r="A15" s="10"/>
      <c r="B15" s="10" t="s">
        <v>25</v>
      </c>
      <c r="C15" s="10"/>
    </row>
    <row r="16" spans="1:8">
      <c r="A16" s="10" t="s">
        <v>26</v>
      </c>
      <c r="B16" s="10"/>
      <c r="C16" s="10"/>
    </row>
    <row r="17" spans="1:3">
      <c r="A17" s="10"/>
      <c r="B17" s="10" t="s">
        <v>27</v>
      </c>
      <c r="C17" s="10"/>
    </row>
    <row r="18" spans="1:3">
      <c r="A18" s="10" t="s">
        <v>28</v>
      </c>
      <c r="B18" s="10"/>
      <c r="C18" s="10"/>
    </row>
    <row r="19" spans="1:3">
      <c r="A19" s="10"/>
      <c r="B19" s="10"/>
      <c r="C19" s="10" t="s">
        <v>29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4B00D-E4AC-44A2-ABAB-F4DA5ACA44E9}">
  <dimension ref="B3:G5"/>
  <sheetViews>
    <sheetView workbookViewId="0">
      <selection activeCell="E4" sqref="E4:E5"/>
    </sheetView>
  </sheetViews>
  <sheetFormatPr defaultRowHeight="14.4"/>
  <sheetData>
    <row r="3" spans="2:7">
      <c r="B3" t="s">
        <v>25</v>
      </c>
      <c r="C3" t="s">
        <v>26</v>
      </c>
      <c r="D3" t="s">
        <v>30</v>
      </c>
      <c r="E3" t="s">
        <v>31</v>
      </c>
      <c r="F3" t="s">
        <v>32</v>
      </c>
      <c r="G3" t="s">
        <v>33</v>
      </c>
    </row>
    <row r="4" spans="2:7">
      <c r="B4">
        <v>20</v>
      </c>
      <c r="C4">
        <v>10</v>
      </c>
      <c r="D4">
        <f>$B4+$C4</f>
        <v>30</v>
      </c>
      <c r="E4">
        <f>B4-C4</f>
        <v>10</v>
      </c>
    </row>
    <row r="5" spans="2:7">
      <c r="B5">
        <v>10</v>
      </c>
      <c r="C5">
        <v>40</v>
      </c>
      <c r="D5">
        <f>$B5+$C5</f>
        <v>50</v>
      </c>
      <c r="E5">
        <f>B5-C5</f>
        <v>-30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FA492-26F9-40F0-995B-3548E2C5E946}">
  <dimension ref="B1:G15"/>
  <sheetViews>
    <sheetView workbookViewId="0">
      <selection activeCell="D21" sqref="D21"/>
    </sheetView>
  </sheetViews>
  <sheetFormatPr defaultRowHeight="14.4"/>
  <cols>
    <col min="2" max="2" width="10.5546875" customWidth="1"/>
    <col min="3" max="3" width="12.5546875" customWidth="1"/>
    <col min="4" max="4" width="11.77734375" customWidth="1"/>
    <col min="5" max="5" width="12.5546875" customWidth="1"/>
    <col min="6" max="6" width="11.77734375" customWidth="1"/>
    <col min="7" max="7" width="12.33203125" customWidth="1"/>
  </cols>
  <sheetData>
    <row r="1" spans="2:7">
      <c r="E1" t="s">
        <v>45</v>
      </c>
      <c r="F1" s="12">
        <v>0.18</v>
      </c>
    </row>
    <row r="3" spans="2:7">
      <c r="B3" s="13" t="s">
        <v>34</v>
      </c>
      <c r="C3" s="13" t="s">
        <v>35</v>
      </c>
      <c r="D3" s="13" t="s">
        <v>36</v>
      </c>
      <c r="E3" s="13" t="s">
        <v>37</v>
      </c>
      <c r="F3" s="13" t="s">
        <v>38</v>
      </c>
      <c r="G3" s="13" t="s">
        <v>39</v>
      </c>
    </row>
    <row r="4" spans="2:7">
      <c r="B4" s="14" t="s">
        <v>40</v>
      </c>
      <c r="C4" s="14">
        <v>2</v>
      </c>
      <c r="D4" s="14">
        <v>55000</v>
      </c>
      <c r="E4" s="14">
        <f>C4*D4</f>
        <v>110000</v>
      </c>
      <c r="F4" s="14">
        <f>E4*$F$1</f>
        <v>19800</v>
      </c>
      <c r="G4" s="14">
        <f>E4+F4</f>
        <v>129800</v>
      </c>
    </row>
    <row r="5" spans="2:7">
      <c r="B5" s="14" t="s">
        <v>41</v>
      </c>
      <c r="C5" s="14">
        <v>5</v>
      </c>
      <c r="D5" s="14">
        <v>18000</v>
      </c>
      <c r="E5" s="14">
        <f t="shared" ref="E5:E8" si="0">C5*D5</f>
        <v>90000</v>
      </c>
      <c r="F5" s="14">
        <f t="shared" ref="F5:F8" si="1">E5*$F$1</f>
        <v>16200</v>
      </c>
      <c r="G5" s="14">
        <f>E5+F5</f>
        <v>106200</v>
      </c>
    </row>
    <row r="6" spans="2:7">
      <c r="B6" s="14" t="s">
        <v>42</v>
      </c>
      <c r="C6" s="14">
        <v>8</v>
      </c>
      <c r="D6" s="14">
        <v>2500</v>
      </c>
      <c r="E6" s="14">
        <f t="shared" si="0"/>
        <v>20000</v>
      </c>
      <c r="F6" s="14">
        <f t="shared" si="1"/>
        <v>3600</v>
      </c>
      <c r="G6" s="14">
        <f t="shared" ref="G6:G8" si="2">E6+F6</f>
        <v>23600</v>
      </c>
    </row>
    <row r="7" spans="2:7">
      <c r="B7" s="14" t="s">
        <v>43</v>
      </c>
      <c r="C7" s="14">
        <v>3</v>
      </c>
      <c r="D7" s="14">
        <v>12000</v>
      </c>
      <c r="E7" s="14">
        <f t="shared" si="0"/>
        <v>36000</v>
      </c>
      <c r="F7" s="14">
        <f>E7*$F$1</f>
        <v>6480</v>
      </c>
      <c r="G7" s="14">
        <f t="shared" si="2"/>
        <v>42480</v>
      </c>
    </row>
    <row r="8" spans="2:7">
      <c r="B8" s="14" t="s">
        <v>44</v>
      </c>
      <c r="C8" s="14">
        <v>6</v>
      </c>
      <c r="D8" s="14">
        <v>1500</v>
      </c>
      <c r="E8" s="14">
        <f t="shared" si="0"/>
        <v>9000</v>
      </c>
      <c r="F8" s="14">
        <f t="shared" si="1"/>
        <v>1620</v>
      </c>
      <c r="G8" s="14">
        <f t="shared" si="2"/>
        <v>10620</v>
      </c>
    </row>
    <row r="12" spans="2:7">
      <c r="C12" t="s">
        <v>46</v>
      </c>
      <c r="D12" t="s">
        <v>47</v>
      </c>
      <c r="E12" t="s">
        <v>48</v>
      </c>
      <c r="F12" t="s">
        <v>49</v>
      </c>
    </row>
    <row r="13" spans="2:7">
      <c r="C13" t="s">
        <v>40</v>
      </c>
      <c r="D13">
        <v>55000</v>
      </c>
      <c r="E13" s="12">
        <v>0.18</v>
      </c>
      <c r="F13">
        <f>D13*E13</f>
        <v>9900</v>
      </c>
    </row>
    <row r="14" spans="2:7">
      <c r="C14" t="s">
        <v>41</v>
      </c>
      <c r="D14">
        <v>18000</v>
      </c>
      <c r="E14" s="12">
        <v>0.18</v>
      </c>
      <c r="F14">
        <f t="shared" ref="F14:F15" si="3">D14*E14</f>
        <v>3240</v>
      </c>
    </row>
    <row r="15" spans="2:7">
      <c r="C15" t="s">
        <v>43</v>
      </c>
      <c r="D15">
        <v>12000</v>
      </c>
      <c r="E15" s="12">
        <v>0.18</v>
      </c>
      <c r="F15">
        <f t="shared" si="3"/>
        <v>2160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27E7-D97D-4286-901B-14C939CE3DC0}">
  <dimension ref="C1:K9"/>
  <sheetViews>
    <sheetView topLeftCell="E1" workbookViewId="0">
      <selection activeCell="J13" sqref="J13"/>
    </sheetView>
  </sheetViews>
  <sheetFormatPr defaultRowHeight="14.4"/>
  <cols>
    <col min="4" max="4" width="14.5546875" bestFit="1" customWidth="1"/>
    <col min="5" max="5" width="13.6640625" customWidth="1"/>
    <col min="6" max="6" width="12.88671875" customWidth="1"/>
    <col min="7" max="7" width="11.6640625" customWidth="1"/>
    <col min="8" max="8" width="13" customWidth="1"/>
    <col min="9" max="9" width="11.6640625" customWidth="1"/>
    <col min="10" max="10" width="11.88671875" customWidth="1"/>
    <col min="11" max="11" width="16.33203125" customWidth="1"/>
  </cols>
  <sheetData>
    <row r="1" spans="3:11">
      <c r="I1" t="s">
        <v>69</v>
      </c>
      <c r="J1" s="12">
        <v>0.05</v>
      </c>
    </row>
    <row r="4" spans="3:11">
      <c r="C4" s="15" t="s">
        <v>50</v>
      </c>
      <c r="D4" s="15" t="s">
        <v>51</v>
      </c>
      <c r="E4" s="15" t="s">
        <v>52</v>
      </c>
      <c r="F4" s="15" t="s">
        <v>53</v>
      </c>
      <c r="G4" s="15" t="s">
        <v>64</v>
      </c>
      <c r="H4" s="15" t="s">
        <v>65</v>
      </c>
      <c r="I4" s="15" t="s">
        <v>66</v>
      </c>
      <c r="J4" s="15" t="s">
        <v>67</v>
      </c>
      <c r="K4" s="15" t="s">
        <v>68</v>
      </c>
    </row>
    <row r="5" spans="3:11">
      <c r="C5" s="17">
        <v>101</v>
      </c>
      <c r="D5" s="18" t="s">
        <v>54</v>
      </c>
      <c r="E5" s="18" t="s">
        <v>59</v>
      </c>
      <c r="F5" s="18" t="s">
        <v>60</v>
      </c>
      <c r="G5" s="17">
        <v>80</v>
      </c>
      <c r="H5" s="17">
        <v>2</v>
      </c>
      <c r="I5" s="16">
        <f>G5*H5</f>
        <v>160</v>
      </c>
      <c r="J5" s="16">
        <f>I5*$J$1</f>
        <v>8</v>
      </c>
      <c r="K5" s="16">
        <f>SUM(I5,J5)</f>
        <v>168</v>
      </c>
    </row>
    <row r="6" spans="3:11">
      <c r="C6" s="17">
        <v>102</v>
      </c>
      <c r="D6" s="18" t="s">
        <v>55</v>
      </c>
      <c r="E6" s="18" t="s">
        <v>59</v>
      </c>
      <c r="F6" s="18" t="s">
        <v>61</v>
      </c>
      <c r="G6" s="17">
        <v>150</v>
      </c>
      <c r="H6" s="17">
        <v>2</v>
      </c>
      <c r="I6" s="16">
        <f t="shared" ref="I6:I9" si="0">G6*H6</f>
        <v>300</v>
      </c>
      <c r="J6" s="16">
        <f>I6*$J$1</f>
        <v>15</v>
      </c>
      <c r="K6" s="16">
        <f t="shared" ref="K6:K9" si="1">SUM(I6,J6)</f>
        <v>315</v>
      </c>
    </row>
    <row r="7" spans="3:11">
      <c r="C7" s="17">
        <v>103</v>
      </c>
      <c r="D7" s="18" t="s">
        <v>56</v>
      </c>
      <c r="E7" s="18" t="s">
        <v>60</v>
      </c>
      <c r="F7" s="18" t="s">
        <v>62</v>
      </c>
      <c r="G7" s="17">
        <v>110</v>
      </c>
      <c r="H7" s="17">
        <v>2</v>
      </c>
      <c r="I7" s="16">
        <f t="shared" si="0"/>
        <v>220</v>
      </c>
      <c r="J7" s="16">
        <f t="shared" ref="J7:J9" si="2">I7*$J$1</f>
        <v>11</v>
      </c>
      <c r="K7" s="16">
        <f t="shared" si="1"/>
        <v>231</v>
      </c>
    </row>
    <row r="8" spans="3:11">
      <c r="C8" s="17">
        <v>104</v>
      </c>
      <c r="D8" s="18" t="s">
        <v>57</v>
      </c>
      <c r="E8" s="18" t="s">
        <v>59</v>
      </c>
      <c r="F8" s="18" t="s">
        <v>63</v>
      </c>
      <c r="G8" s="17">
        <v>130</v>
      </c>
      <c r="H8" s="17">
        <v>2</v>
      </c>
      <c r="I8" s="16">
        <f t="shared" si="0"/>
        <v>260</v>
      </c>
      <c r="J8" s="16">
        <f t="shared" si="2"/>
        <v>13</v>
      </c>
      <c r="K8" s="16">
        <f t="shared" si="1"/>
        <v>273</v>
      </c>
    </row>
    <row r="9" spans="3:11">
      <c r="C9" s="17">
        <v>105</v>
      </c>
      <c r="D9" s="18" t="s">
        <v>58</v>
      </c>
      <c r="E9" s="18" t="s">
        <v>61</v>
      </c>
      <c r="F9" s="18" t="s">
        <v>61</v>
      </c>
      <c r="G9" s="17">
        <v>100</v>
      </c>
      <c r="H9" s="17">
        <v>2</v>
      </c>
      <c r="I9" s="16">
        <f t="shared" si="0"/>
        <v>200</v>
      </c>
      <c r="J9" s="16">
        <f t="shared" si="2"/>
        <v>10</v>
      </c>
      <c r="K9" s="16">
        <f t="shared" si="1"/>
        <v>210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84CA1-8EB0-482B-B894-EB2896AC2BF4}">
  <dimension ref="A1:I25"/>
  <sheetViews>
    <sheetView topLeftCell="A11" workbookViewId="0">
      <selection activeCell="H21" sqref="H21"/>
    </sheetView>
  </sheetViews>
  <sheetFormatPr defaultRowHeight="14.4"/>
  <cols>
    <col min="3" max="3" width="19.5546875" customWidth="1"/>
    <col min="4" max="4" width="13.33203125" customWidth="1"/>
    <col min="5" max="5" width="12.88671875" customWidth="1"/>
    <col min="6" max="6" width="12.5546875" customWidth="1"/>
    <col min="7" max="7" width="13.109375" customWidth="1"/>
    <col min="8" max="8" width="14.6640625" customWidth="1"/>
  </cols>
  <sheetData>
    <row r="1" spans="1:9">
      <c r="A1" t="s">
        <v>70</v>
      </c>
    </row>
    <row r="2" spans="1:9">
      <c r="A2" t="s">
        <v>71</v>
      </c>
    </row>
    <row r="3" spans="1:9">
      <c r="A3" t="s">
        <v>72</v>
      </c>
    </row>
    <row r="4" spans="1:9">
      <c r="A4" t="s">
        <v>73</v>
      </c>
    </row>
    <row r="5" spans="1:9">
      <c r="C5" s="13" t="s">
        <v>74</v>
      </c>
      <c r="D5" s="13" t="s">
        <v>75</v>
      </c>
      <c r="E5" s="13" t="s">
        <v>73</v>
      </c>
    </row>
    <row r="6" spans="1:9">
      <c r="C6" s="15" t="s">
        <v>56</v>
      </c>
      <c r="D6" s="15">
        <v>85</v>
      </c>
      <c r="E6">
        <f>_xlfn.RANK.AVG(D6,$D$6:$D$10,0)</f>
        <v>3</v>
      </c>
    </row>
    <row r="7" spans="1:9">
      <c r="C7" s="15" t="s">
        <v>76</v>
      </c>
      <c r="D7" s="15">
        <v>92</v>
      </c>
      <c r="E7">
        <f t="shared" ref="E7:E10" si="0">_xlfn.RANK.AVG(D7,$D$6:$D$10,0)</f>
        <v>1</v>
      </c>
    </row>
    <row r="8" spans="1:9">
      <c r="C8" s="15" t="s">
        <v>77</v>
      </c>
      <c r="D8" s="15">
        <v>78</v>
      </c>
      <c r="E8">
        <f t="shared" si="0"/>
        <v>4</v>
      </c>
    </row>
    <row r="9" spans="1:9">
      <c r="C9" s="15" t="s">
        <v>57</v>
      </c>
      <c r="D9" s="15">
        <v>88</v>
      </c>
      <c r="E9">
        <f t="shared" si="0"/>
        <v>2</v>
      </c>
    </row>
    <row r="10" spans="1:9">
      <c r="C10" s="15" t="s">
        <v>58</v>
      </c>
      <c r="D10" s="15">
        <v>70</v>
      </c>
      <c r="E10">
        <f t="shared" si="0"/>
        <v>5</v>
      </c>
    </row>
    <row r="11" spans="1:9">
      <c r="C11" t="s">
        <v>70</v>
      </c>
      <c r="D11">
        <f>MIN(D6:D10)</f>
        <v>70</v>
      </c>
    </row>
    <row r="12" spans="1:9">
      <c r="C12" t="s">
        <v>71</v>
      </c>
      <c r="D12">
        <f>MAX(D6:D10)</f>
        <v>92</v>
      </c>
    </row>
    <row r="13" spans="1:9">
      <c r="C13" t="s">
        <v>72</v>
      </c>
      <c r="D13">
        <f>AVERAGE(D6:D10)</f>
        <v>82.6</v>
      </c>
    </row>
    <row r="16" spans="1:9">
      <c r="C16" s="19" t="s">
        <v>74</v>
      </c>
      <c r="D16" s="19" t="s">
        <v>78</v>
      </c>
      <c r="E16" s="19" t="s">
        <v>79</v>
      </c>
      <c r="F16" s="19" t="s">
        <v>80</v>
      </c>
      <c r="G16" s="14" t="s">
        <v>81</v>
      </c>
      <c r="H16" s="14" t="s">
        <v>82</v>
      </c>
      <c r="I16" s="14" t="s">
        <v>73</v>
      </c>
    </row>
    <row r="17" spans="3:9">
      <c r="C17" s="20" t="s">
        <v>56</v>
      </c>
      <c r="D17" s="20">
        <v>78</v>
      </c>
      <c r="E17" s="20">
        <v>85</v>
      </c>
      <c r="F17" s="20">
        <v>90</v>
      </c>
      <c r="G17" s="13">
        <f>SUM(D17:F17)</f>
        <v>253</v>
      </c>
      <c r="H17" s="13">
        <f>AVERAGE(D17:F17)</f>
        <v>84.333333333333329</v>
      </c>
      <c r="I17" s="13">
        <f>_xlfn.RANK.AVG(G17,$G$17:$G$21,0)</f>
        <v>2.5</v>
      </c>
    </row>
    <row r="18" spans="3:9">
      <c r="C18" s="20" t="s">
        <v>76</v>
      </c>
      <c r="D18" s="20">
        <v>92</v>
      </c>
      <c r="E18" s="20">
        <v>88</v>
      </c>
      <c r="F18" s="20">
        <v>95</v>
      </c>
      <c r="G18" s="13">
        <f t="shared" ref="G18:G21" si="1">SUM(D18:F18)</f>
        <v>275</v>
      </c>
      <c r="H18" s="13">
        <f t="shared" ref="H18:H21" si="2">AVERAGE(D18:F18)</f>
        <v>91.666666666666671</v>
      </c>
      <c r="I18" s="13">
        <f t="shared" ref="I18:I21" si="3">_xlfn.RANK.AVG(G18,$G$17:$G$21,0)</f>
        <v>1</v>
      </c>
    </row>
    <row r="19" spans="3:9">
      <c r="C19" s="20" t="s">
        <v>77</v>
      </c>
      <c r="D19" s="20">
        <v>67</v>
      </c>
      <c r="E19" s="20">
        <v>72</v>
      </c>
      <c r="F19" s="20">
        <v>70</v>
      </c>
      <c r="G19" s="13">
        <f t="shared" si="1"/>
        <v>209</v>
      </c>
      <c r="H19" s="13">
        <f t="shared" si="2"/>
        <v>69.666666666666671</v>
      </c>
      <c r="I19" s="13">
        <f t="shared" si="3"/>
        <v>4</v>
      </c>
    </row>
    <row r="20" spans="3:9">
      <c r="C20" s="20" t="s">
        <v>57</v>
      </c>
      <c r="D20" s="20">
        <v>85</v>
      </c>
      <c r="E20" s="20">
        <v>80</v>
      </c>
      <c r="F20" s="20">
        <v>88</v>
      </c>
      <c r="G20" s="13">
        <f t="shared" si="1"/>
        <v>253</v>
      </c>
      <c r="H20" s="13">
        <f t="shared" si="2"/>
        <v>84.333333333333329</v>
      </c>
      <c r="I20" s="13">
        <f t="shared" si="3"/>
        <v>2.5</v>
      </c>
    </row>
    <row r="21" spans="3:9">
      <c r="C21" s="20" t="s">
        <v>58</v>
      </c>
      <c r="D21" s="20">
        <v>60</v>
      </c>
      <c r="E21" s="20">
        <v>75</v>
      </c>
      <c r="F21" s="20">
        <v>65</v>
      </c>
      <c r="G21" s="13">
        <f t="shared" si="1"/>
        <v>200</v>
      </c>
      <c r="H21" s="13">
        <f t="shared" si="2"/>
        <v>66.666666666666671</v>
      </c>
      <c r="I21" s="13">
        <f t="shared" si="3"/>
        <v>5</v>
      </c>
    </row>
    <row r="22" spans="3:9">
      <c r="C22" s="14" t="s">
        <v>83</v>
      </c>
      <c r="D22" s="13">
        <f>MAX(D17:D21)</f>
        <v>92</v>
      </c>
      <c r="E22" s="21"/>
      <c r="F22" s="21"/>
    </row>
    <row r="23" spans="3:9">
      <c r="C23" s="14" t="s">
        <v>84</v>
      </c>
      <c r="D23" s="21"/>
      <c r="E23" s="13">
        <f>MIN(E17:E21)</f>
        <v>72</v>
      </c>
      <c r="F23" s="21"/>
    </row>
    <row r="24" spans="3:9">
      <c r="C24" s="14" t="s">
        <v>85</v>
      </c>
      <c r="D24" s="13">
        <f>SUM(D17:D21)</f>
        <v>382</v>
      </c>
      <c r="E24" s="21"/>
      <c r="F24" s="21"/>
    </row>
    <row r="25" spans="3:9">
      <c r="C25" s="14" t="s">
        <v>86</v>
      </c>
      <c r="D25" s="21"/>
      <c r="E25" s="21"/>
      <c r="F25" s="13">
        <f>AVERAGE(F17:F21)</f>
        <v>81.599999999999994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8B3D-CA06-4E03-A349-D54317837F8B}">
  <dimension ref="C1:M70"/>
  <sheetViews>
    <sheetView topLeftCell="D51" workbookViewId="0">
      <selection activeCell="H75" sqref="H75"/>
    </sheetView>
  </sheetViews>
  <sheetFormatPr defaultRowHeight="14.4"/>
  <cols>
    <col min="3" max="3" width="10.77734375" bestFit="1" customWidth="1"/>
    <col min="5" max="5" width="16.5546875" customWidth="1"/>
    <col min="9" max="9" width="12.33203125" bestFit="1" customWidth="1"/>
    <col min="13" max="13" width="15" customWidth="1"/>
  </cols>
  <sheetData>
    <row r="1" spans="3:13">
      <c r="E1" t="s">
        <v>87</v>
      </c>
      <c r="F1" s="22"/>
    </row>
    <row r="2" spans="3:13">
      <c r="E2" t="s">
        <v>88</v>
      </c>
      <c r="F2" s="22" t="s">
        <v>90</v>
      </c>
    </row>
    <row r="3" spans="3:13">
      <c r="E3" t="s">
        <v>89</v>
      </c>
      <c r="F3" s="22"/>
    </row>
    <row r="5" spans="3:13">
      <c r="C5" t="s">
        <v>95</v>
      </c>
      <c r="E5" s="13" t="s">
        <v>46</v>
      </c>
      <c r="F5" s="13" t="s">
        <v>35</v>
      </c>
      <c r="G5" s="13" t="s">
        <v>47</v>
      </c>
      <c r="J5" t="s">
        <v>88</v>
      </c>
      <c r="L5" s="13" t="s">
        <v>96</v>
      </c>
      <c r="M5" s="13" t="s">
        <v>97</v>
      </c>
    </row>
    <row r="6" spans="3:13">
      <c r="E6" s="1" t="s">
        <v>91</v>
      </c>
      <c r="F6" s="1">
        <v>10</v>
      </c>
      <c r="G6" s="1">
        <v>5</v>
      </c>
      <c r="L6" s="1" t="s">
        <v>56</v>
      </c>
      <c r="M6" s="1">
        <f ca="1">RAND()</f>
        <v>0.80659724405189159</v>
      </c>
    </row>
    <row r="7" spans="3:13">
      <c r="E7" s="1" t="s">
        <v>92</v>
      </c>
      <c r="F7" s="1">
        <v>7</v>
      </c>
      <c r="G7" s="1">
        <v>20</v>
      </c>
      <c r="L7" s="1" t="s">
        <v>76</v>
      </c>
      <c r="M7" s="1">
        <f ca="1">RAND()</f>
        <v>0.62615524689804858</v>
      </c>
    </row>
    <row r="8" spans="3:13">
      <c r="E8" s="1" t="s">
        <v>93</v>
      </c>
      <c r="F8" s="1">
        <v>15</v>
      </c>
      <c r="G8" s="1">
        <v>3</v>
      </c>
      <c r="L8" s="1" t="s">
        <v>77</v>
      </c>
      <c r="M8" s="1">
        <f t="shared" ref="M8:M10" ca="1" si="0">RAND()</f>
        <v>0.32939719481783614</v>
      </c>
    </row>
    <row r="9" spans="3:13">
      <c r="E9" s="1" t="s">
        <v>94</v>
      </c>
      <c r="F9" s="1">
        <v>2</v>
      </c>
      <c r="G9" s="23">
        <v>500</v>
      </c>
      <c r="L9" s="1" t="s">
        <v>57</v>
      </c>
      <c r="M9" s="1">
        <f t="shared" ca="1" si="0"/>
        <v>0.23106038094679715</v>
      </c>
    </row>
    <row r="10" spans="3:13">
      <c r="E10" s="21" t="s">
        <v>95</v>
      </c>
      <c r="F10" s="21">
        <f>SUMPRODUCT(F6:F9,G6:G9)</f>
        <v>1235</v>
      </c>
      <c r="L10" s="1" t="s">
        <v>58</v>
      </c>
      <c r="M10" s="1">
        <f t="shared" ca="1" si="0"/>
        <v>0.79974818675529113</v>
      </c>
    </row>
    <row r="13" spans="3:13">
      <c r="J13" t="s">
        <v>89</v>
      </c>
      <c r="L13" s="3" t="s">
        <v>96</v>
      </c>
      <c r="M13" t="s">
        <v>97</v>
      </c>
    </row>
    <row r="14" spans="3:13">
      <c r="C14" t="s">
        <v>73</v>
      </c>
      <c r="E14" s="13" t="s">
        <v>96</v>
      </c>
      <c r="F14" s="13" t="s">
        <v>75</v>
      </c>
      <c r="G14" s="13" t="s">
        <v>73</v>
      </c>
      <c r="L14" t="s">
        <v>98</v>
      </c>
      <c r="M14">
        <f ca="1">RANDBETWEEN(60,100)</f>
        <v>96</v>
      </c>
    </row>
    <row r="15" spans="3:13">
      <c r="E15" s="1" t="s">
        <v>56</v>
      </c>
      <c r="F15" s="1">
        <v>85</v>
      </c>
      <c r="G15" s="1">
        <f>RANK(F15,$F$15:$F$19,0)</f>
        <v>3</v>
      </c>
      <c r="L15" t="s">
        <v>99</v>
      </c>
      <c r="M15">
        <f t="shared" ref="M15:M18" ca="1" si="1">RANDBETWEEN(60,100)</f>
        <v>96</v>
      </c>
    </row>
    <row r="16" spans="3:13">
      <c r="E16" s="1" t="s">
        <v>76</v>
      </c>
      <c r="F16" s="1">
        <v>92</v>
      </c>
      <c r="G16" s="1">
        <f>RANK(F16,$F$15:$F$19,0)</f>
        <v>1</v>
      </c>
      <c r="L16" t="s">
        <v>100</v>
      </c>
      <c r="M16">
        <f t="shared" ca="1" si="1"/>
        <v>100</v>
      </c>
    </row>
    <row r="17" spans="3:13">
      <c r="E17" s="1" t="s">
        <v>77</v>
      </c>
      <c r="F17" s="1">
        <v>78</v>
      </c>
      <c r="G17" s="1">
        <f>RANK(F17,$F$15:$F$19,0)</f>
        <v>4</v>
      </c>
      <c r="L17" t="s">
        <v>101</v>
      </c>
      <c r="M17">
        <f t="shared" ca="1" si="1"/>
        <v>91</v>
      </c>
    </row>
    <row r="18" spans="3:13">
      <c r="E18" s="1" t="s">
        <v>57</v>
      </c>
      <c r="F18" s="1">
        <v>88</v>
      </c>
      <c r="G18" s="1">
        <f t="shared" ref="G18:G19" si="2">RANK(F18,$F$15:$F$19,0)</f>
        <v>2</v>
      </c>
      <c r="L18" t="s">
        <v>102</v>
      </c>
      <c r="M18">
        <f t="shared" ca="1" si="1"/>
        <v>66</v>
      </c>
    </row>
    <row r="19" spans="3:13">
      <c r="E19" s="1" t="s">
        <v>58</v>
      </c>
      <c r="F19" s="1">
        <v>70</v>
      </c>
      <c r="G19" s="1">
        <f t="shared" si="2"/>
        <v>5</v>
      </c>
    </row>
    <row r="22" spans="3:13">
      <c r="E22" t="s">
        <v>103</v>
      </c>
    </row>
    <row r="24" spans="3:13">
      <c r="C24" t="s">
        <v>106</v>
      </c>
      <c r="E24" s="26" t="s">
        <v>46</v>
      </c>
      <c r="F24" s="24" t="s">
        <v>104</v>
      </c>
      <c r="I24" t="s">
        <v>88</v>
      </c>
      <c r="K24">
        <f ca="1">RAND()</f>
        <v>0.88805920783693559</v>
      </c>
    </row>
    <row r="25" spans="3:13">
      <c r="E25" s="25" t="s">
        <v>98</v>
      </c>
      <c r="F25" s="25">
        <v>1200</v>
      </c>
    </row>
    <row r="26" spans="3:13">
      <c r="E26" s="25" t="s">
        <v>99</v>
      </c>
      <c r="F26" s="25">
        <v>1500</v>
      </c>
      <c r="I26" t="s">
        <v>89</v>
      </c>
      <c r="K26">
        <f ca="1">RANDBETWEEN(1,100)</f>
        <v>53</v>
      </c>
    </row>
    <row r="27" spans="3:13">
      <c r="E27" s="25" t="s">
        <v>100</v>
      </c>
      <c r="F27" s="25">
        <v>1800</v>
      </c>
    </row>
    <row r="28" spans="3:13">
      <c r="E28" s="25" t="s">
        <v>101</v>
      </c>
      <c r="F28" s="25">
        <v>1000</v>
      </c>
      <c r="I28" t="s">
        <v>110</v>
      </c>
      <c r="K28" s="24" t="s">
        <v>75</v>
      </c>
    </row>
    <row r="29" spans="3:13">
      <c r="E29" s="27" t="s">
        <v>105</v>
      </c>
      <c r="F29" s="28">
        <f>SUM(F25:F28)</f>
        <v>5500</v>
      </c>
      <c r="K29" s="25">
        <v>80</v>
      </c>
    </row>
    <row r="30" spans="3:13">
      <c r="K30" s="25">
        <v>75</v>
      </c>
    </row>
    <row r="31" spans="3:13">
      <c r="K31" s="25">
        <v>90</v>
      </c>
    </row>
    <row r="32" spans="3:13">
      <c r="C32" t="s">
        <v>107</v>
      </c>
      <c r="E32" s="26" t="s">
        <v>96</v>
      </c>
      <c r="F32" s="24" t="s">
        <v>75</v>
      </c>
      <c r="K32" s="25">
        <v>85</v>
      </c>
    </row>
    <row r="33" spans="3:11">
      <c r="E33" s="25" t="s">
        <v>56</v>
      </c>
      <c r="F33" s="25">
        <v>80</v>
      </c>
      <c r="K33" s="25">
        <v>70</v>
      </c>
    </row>
    <row r="34" spans="3:11">
      <c r="E34" s="25" t="s">
        <v>76</v>
      </c>
      <c r="F34" s="25">
        <v>90</v>
      </c>
      <c r="J34" t="s">
        <v>110</v>
      </c>
      <c r="K34">
        <f>COUNT(K29:K33)</f>
        <v>5</v>
      </c>
    </row>
    <row r="35" spans="3:11">
      <c r="E35" s="25" t="s">
        <v>77</v>
      </c>
      <c r="F35" s="25">
        <v>70</v>
      </c>
    </row>
    <row r="36" spans="3:11">
      <c r="E36" s="25" t="s">
        <v>57</v>
      </c>
      <c r="F36" s="25">
        <v>85</v>
      </c>
    </row>
    <row r="37" spans="3:11">
      <c r="E37" s="27" t="s">
        <v>107</v>
      </c>
      <c r="F37" s="28">
        <f>AVERAGE(F33:F36)</f>
        <v>81.25</v>
      </c>
    </row>
    <row r="40" spans="3:11">
      <c r="C40" t="s">
        <v>71</v>
      </c>
      <c r="E40" s="26" t="s">
        <v>108</v>
      </c>
      <c r="F40" s="24" t="s">
        <v>109</v>
      </c>
    </row>
    <row r="41" spans="3:11">
      <c r="C41" t="s">
        <v>70</v>
      </c>
      <c r="E41" s="25" t="s">
        <v>98</v>
      </c>
      <c r="F41" s="25">
        <v>35000</v>
      </c>
    </row>
    <row r="42" spans="3:11">
      <c r="E42" s="25" t="s">
        <v>99</v>
      </c>
      <c r="F42" s="25">
        <v>42000</v>
      </c>
    </row>
    <row r="43" spans="3:11">
      <c r="E43" s="25" t="s">
        <v>100</v>
      </c>
      <c r="F43" s="25">
        <v>28000</v>
      </c>
    </row>
    <row r="44" spans="3:11">
      <c r="E44" s="25" t="s">
        <v>101</v>
      </c>
      <c r="F44" s="25">
        <v>39000</v>
      </c>
    </row>
    <row r="45" spans="3:11">
      <c r="E45" s="27" t="s">
        <v>71</v>
      </c>
      <c r="F45" s="28">
        <f>MAX(F41:F44)</f>
        <v>42000</v>
      </c>
    </row>
    <row r="46" spans="3:11">
      <c r="E46" s="27" t="s">
        <v>70</v>
      </c>
      <c r="F46" s="28">
        <f>MIN(F41:F44)</f>
        <v>28000</v>
      </c>
    </row>
    <row r="49" spans="3:7">
      <c r="C49" t="s">
        <v>95</v>
      </c>
      <c r="E49" s="24" t="s">
        <v>46</v>
      </c>
      <c r="F49" s="24" t="s">
        <v>35</v>
      </c>
      <c r="G49" s="24" t="s">
        <v>47</v>
      </c>
    </row>
    <row r="50" spans="3:7">
      <c r="E50" s="25" t="s">
        <v>91</v>
      </c>
      <c r="F50" s="25">
        <v>10</v>
      </c>
      <c r="G50" s="25">
        <v>5</v>
      </c>
    </row>
    <row r="51" spans="3:7">
      <c r="E51" s="25" t="s">
        <v>92</v>
      </c>
      <c r="F51" s="25">
        <v>5</v>
      </c>
      <c r="G51" s="25">
        <v>40</v>
      </c>
    </row>
    <row r="52" spans="3:7">
      <c r="E52" s="25" t="s">
        <v>93</v>
      </c>
      <c r="F52" s="25">
        <v>8</v>
      </c>
      <c r="G52" s="25">
        <v>3</v>
      </c>
    </row>
    <row r="53" spans="3:7">
      <c r="E53" s="27" t="s">
        <v>95</v>
      </c>
      <c r="F53" s="28">
        <f>SUMPRODUCT(F50:F52,G50:G52)</f>
        <v>274</v>
      </c>
    </row>
    <row r="56" spans="3:7">
      <c r="C56" t="s">
        <v>73</v>
      </c>
      <c r="E56" s="24" t="s">
        <v>96</v>
      </c>
      <c r="F56" s="24" t="s">
        <v>75</v>
      </c>
      <c r="G56" s="24" t="s">
        <v>73</v>
      </c>
    </row>
    <row r="57" spans="3:7">
      <c r="E57" s="25" t="s">
        <v>98</v>
      </c>
      <c r="F57" s="25">
        <v>88</v>
      </c>
      <c r="G57" s="25">
        <f>RANK(F57,$F$57:$F$60,0)</f>
        <v>2</v>
      </c>
    </row>
    <row r="58" spans="3:7">
      <c r="E58" s="25" t="s">
        <v>99</v>
      </c>
      <c r="F58" s="25">
        <v>92</v>
      </c>
      <c r="G58" s="25">
        <f t="shared" ref="G58:G60" si="3">RANK(F58,$F$57:$F$60,0)</f>
        <v>1</v>
      </c>
    </row>
    <row r="59" spans="3:7">
      <c r="E59" s="25" t="s">
        <v>100</v>
      </c>
      <c r="F59" s="25">
        <v>75</v>
      </c>
      <c r="G59" s="25">
        <f t="shared" si="3"/>
        <v>4</v>
      </c>
    </row>
    <row r="60" spans="3:7">
      <c r="E60" s="25" t="s">
        <v>101</v>
      </c>
      <c r="F60" s="25">
        <v>80</v>
      </c>
      <c r="G60" s="25">
        <f t="shared" si="3"/>
        <v>3</v>
      </c>
    </row>
    <row r="63" spans="3:7">
      <c r="F63" t="s">
        <v>45</v>
      </c>
      <c r="G63" t="s">
        <v>69</v>
      </c>
    </row>
    <row r="64" spans="3:7">
      <c r="F64" s="12">
        <v>0.2</v>
      </c>
      <c r="G64" s="12">
        <v>0.09</v>
      </c>
    </row>
    <row r="66" spans="6:9">
      <c r="F66" s="24" t="s">
        <v>34</v>
      </c>
      <c r="G66" s="24" t="s">
        <v>47</v>
      </c>
      <c r="H66" t="s">
        <v>45</v>
      </c>
      <c r="I66" t="s">
        <v>111</v>
      </c>
    </row>
    <row r="67" spans="6:9">
      <c r="F67" s="25" t="s">
        <v>98</v>
      </c>
      <c r="G67" s="25">
        <v>120</v>
      </c>
      <c r="H67">
        <f>$G67*F$64</f>
        <v>24</v>
      </c>
      <c r="I67">
        <f>$G67*G$64</f>
        <v>10.799999999999999</v>
      </c>
    </row>
    <row r="68" spans="6:9">
      <c r="F68" s="25" t="s">
        <v>99</v>
      </c>
      <c r="G68" s="25">
        <v>250</v>
      </c>
      <c r="H68">
        <f t="shared" ref="H68:H70" si="4">$G68*F$64</f>
        <v>50</v>
      </c>
      <c r="I68">
        <f t="shared" ref="I68:I70" si="5">$G68*G$64</f>
        <v>22.5</v>
      </c>
    </row>
    <row r="69" spans="6:9">
      <c r="F69" s="25" t="s">
        <v>100</v>
      </c>
      <c r="G69" s="25">
        <v>175</v>
      </c>
      <c r="H69">
        <f t="shared" si="4"/>
        <v>35</v>
      </c>
      <c r="I69">
        <f t="shared" si="5"/>
        <v>15.75</v>
      </c>
    </row>
    <row r="70" spans="6:9">
      <c r="F70" s="25" t="s">
        <v>101</v>
      </c>
      <c r="G70" s="25">
        <v>300</v>
      </c>
      <c r="H70">
        <f t="shared" si="4"/>
        <v>60</v>
      </c>
      <c r="I70">
        <f t="shared" si="5"/>
        <v>27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C2F8-21B1-4497-BD8F-27962BF724B9}">
  <dimension ref="C3:I70"/>
  <sheetViews>
    <sheetView topLeftCell="B51" workbookViewId="0">
      <selection activeCell="I71" sqref="I71"/>
    </sheetView>
  </sheetViews>
  <sheetFormatPr defaultRowHeight="14.4"/>
  <cols>
    <col min="3" max="3" width="12.88671875" customWidth="1"/>
    <col min="6" max="6" width="16.5546875" customWidth="1"/>
    <col min="9" max="9" width="19.88671875" customWidth="1"/>
  </cols>
  <sheetData>
    <row r="3" spans="3:9">
      <c r="C3" t="s">
        <v>114</v>
      </c>
      <c r="F3" t="s">
        <v>112</v>
      </c>
      <c r="I3" t="s">
        <v>113</v>
      </c>
    </row>
    <row r="4" spans="3:9">
      <c r="C4" t="s">
        <v>115</v>
      </c>
      <c r="F4" t="s">
        <v>116</v>
      </c>
      <c r="I4" t="str">
        <f>LEFT(F4,3)</f>
        <v>Sak</v>
      </c>
    </row>
    <row r="6" spans="3:9">
      <c r="C6" t="s">
        <v>117</v>
      </c>
      <c r="F6" t="s">
        <v>116</v>
      </c>
      <c r="I6" t="str">
        <f>RIGHT(F6,3)</f>
        <v>shi</v>
      </c>
    </row>
    <row r="8" spans="3:9">
      <c r="C8" t="s">
        <v>118</v>
      </c>
      <c r="F8" t="s">
        <v>116</v>
      </c>
      <c r="I8" t="str">
        <f>MID(F8,2,3)</f>
        <v>aks</v>
      </c>
    </row>
    <row r="10" spans="3:9">
      <c r="C10" t="s">
        <v>119</v>
      </c>
      <c r="F10" t="s">
        <v>120</v>
      </c>
      <c r="I10">
        <f>LEN(F10)</f>
        <v>5</v>
      </c>
    </row>
    <row r="12" spans="3:9">
      <c r="C12" t="s">
        <v>121</v>
      </c>
      <c r="F12" t="s">
        <v>122</v>
      </c>
      <c r="I12" t="str">
        <f>UPPER(F12)</f>
        <v>SAKSHI</v>
      </c>
    </row>
    <row r="14" spans="3:9">
      <c r="C14" t="s">
        <v>123</v>
      </c>
      <c r="F14" t="s">
        <v>124</v>
      </c>
      <c r="I14" t="str">
        <f>LOWER(F14)</f>
        <v>sakshi</v>
      </c>
    </row>
    <row r="16" spans="3:9">
      <c r="C16" t="s">
        <v>125</v>
      </c>
      <c r="F16" t="s">
        <v>126</v>
      </c>
      <c r="I16" t="str">
        <f>PROPER(F16)</f>
        <v>Sakshi Hiwarkar</v>
      </c>
    </row>
    <row r="18" spans="3:9">
      <c r="C18" t="s">
        <v>127</v>
      </c>
      <c r="F18" t="s">
        <v>128</v>
      </c>
      <c r="I18" t="str">
        <f>TRIM(F18)</f>
        <v>Excel Data</v>
      </c>
    </row>
    <row r="20" spans="3:9">
      <c r="C20" t="s">
        <v>129</v>
      </c>
      <c r="E20" t="s">
        <v>116</v>
      </c>
      <c r="F20" t="s">
        <v>130</v>
      </c>
      <c r="I20" t="str">
        <f>_xlfn.CONCAT(E20," ",F20)</f>
        <v>Sakshi Hiwarkar</v>
      </c>
    </row>
    <row r="22" spans="3:9">
      <c r="C22" t="s">
        <v>131</v>
      </c>
      <c r="D22" t="s">
        <v>116</v>
      </c>
      <c r="E22" t="s">
        <v>132</v>
      </c>
      <c r="F22" t="s">
        <v>133</v>
      </c>
      <c r="I22" t="str">
        <f>_xlfn.TEXTJOIN(" ",TRUE,D22,E22,F22)</f>
        <v>Sakshi Data Analyst</v>
      </c>
    </row>
    <row r="24" spans="3:9">
      <c r="C24" t="s">
        <v>134</v>
      </c>
      <c r="F24" t="s">
        <v>116</v>
      </c>
      <c r="I24">
        <f>FIND("k",F24)</f>
        <v>3</v>
      </c>
    </row>
    <row r="25" spans="3:9">
      <c r="F25" t="s">
        <v>135</v>
      </c>
      <c r="I25">
        <f>FIND("t",F25)</f>
        <v>3</v>
      </c>
    </row>
    <row r="27" spans="3:9">
      <c r="C27" t="s">
        <v>136</v>
      </c>
      <c r="F27" t="s">
        <v>116</v>
      </c>
      <c r="I27">
        <f>SEARCH("H",F27)</f>
        <v>5</v>
      </c>
    </row>
    <row r="29" spans="3:9">
      <c r="C29" t="s">
        <v>137</v>
      </c>
      <c r="F29" t="s">
        <v>116</v>
      </c>
      <c r="I29" t="str">
        <f>REPLACE(F29,1,3,"Sonak")</f>
        <v>Sonakshi</v>
      </c>
    </row>
    <row r="31" spans="3:9">
      <c r="C31" t="s">
        <v>138</v>
      </c>
      <c r="F31" t="s">
        <v>139</v>
      </c>
      <c r="I31" t="str">
        <f>SUBSTITUTE(F31,"Analyst","Engineer")</f>
        <v>Data Engineer</v>
      </c>
    </row>
    <row r="33" spans="3:9" ht="19.8">
      <c r="C33" t="s">
        <v>140</v>
      </c>
      <c r="F33" s="29">
        <v>4500</v>
      </c>
      <c r="I33" t="str">
        <f>TEXT(4500,"$0")</f>
        <v>$4500</v>
      </c>
    </row>
    <row r="35" spans="3:9">
      <c r="C35" t="s">
        <v>141</v>
      </c>
      <c r="I35">
        <f>VALUE("500")</f>
        <v>500</v>
      </c>
    </row>
    <row r="38" spans="3:9">
      <c r="C38" t="s">
        <v>143</v>
      </c>
      <c r="F38" t="s">
        <v>144</v>
      </c>
      <c r="I38" t="s">
        <v>113</v>
      </c>
    </row>
    <row r="40" spans="3:9">
      <c r="C40" t="s">
        <v>115</v>
      </c>
      <c r="F40" t="s">
        <v>116</v>
      </c>
      <c r="I40" t="str">
        <f>LEFT(F40,4)</f>
        <v>Saks</v>
      </c>
    </row>
    <row r="42" spans="3:9">
      <c r="C42" t="s">
        <v>117</v>
      </c>
      <c r="F42" t="s">
        <v>133</v>
      </c>
      <c r="I42" t="str">
        <f>RIGHT(F42,3)</f>
        <v>yst</v>
      </c>
    </row>
    <row r="44" spans="3:9">
      <c r="C44" t="s">
        <v>118</v>
      </c>
      <c r="F44" t="s">
        <v>145</v>
      </c>
      <c r="I44" t="str">
        <f>MID(F44,5,4)</f>
        <v>Anal</v>
      </c>
    </row>
    <row r="46" spans="3:9">
      <c r="C46" t="s">
        <v>119</v>
      </c>
      <c r="F46" t="s">
        <v>146</v>
      </c>
      <c r="I46">
        <f>LEN(F46)</f>
        <v>13</v>
      </c>
    </row>
    <row r="48" spans="3:9">
      <c r="C48" t="s">
        <v>121</v>
      </c>
      <c r="F48" t="s">
        <v>147</v>
      </c>
      <c r="I48" t="str">
        <f>UPPER(F48)</f>
        <v>DATA ANALYST</v>
      </c>
    </row>
    <row r="50" spans="3:9">
      <c r="C50" t="s">
        <v>123</v>
      </c>
      <c r="F50" t="s">
        <v>148</v>
      </c>
      <c r="I50" t="str">
        <f>LOWER(F50)</f>
        <v>excel formula</v>
      </c>
    </row>
    <row r="52" spans="3:9">
      <c r="C52" t="s">
        <v>125</v>
      </c>
      <c r="F52" t="s">
        <v>126</v>
      </c>
      <c r="I52" t="str">
        <f>PROPER(F52)</f>
        <v>Sakshi Hiwarkar</v>
      </c>
    </row>
    <row r="54" spans="3:9">
      <c r="C54" t="s">
        <v>127</v>
      </c>
      <c r="F54" t="s">
        <v>149</v>
      </c>
      <c r="I54" t="str">
        <f>TRIM(F54)</f>
        <v>Data Analyst</v>
      </c>
    </row>
    <row r="56" spans="3:9">
      <c r="C56" t="s">
        <v>129</v>
      </c>
      <c r="E56" t="s">
        <v>116</v>
      </c>
      <c r="F56" t="s">
        <v>130</v>
      </c>
      <c r="I56" t="str">
        <f>_xlfn.CONCAT(E56," ",F56)</f>
        <v>Sakshi Hiwarkar</v>
      </c>
    </row>
    <row r="58" spans="3:9">
      <c r="C58" t="s">
        <v>131</v>
      </c>
      <c r="D58" t="s">
        <v>132</v>
      </c>
      <c r="E58" t="s">
        <v>133</v>
      </c>
      <c r="F58" t="s">
        <v>120</v>
      </c>
      <c r="I58" t="str">
        <f>_xlfn.TEXTJOIN(",",TRUE,D58,E58,F58)</f>
        <v>Data,Analyst,Excel</v>
      </c>
    </row>
    <row r="60" spans="3:9">
      <c r="C60" t="s">
        <v>134</v>
      </c>
      <c r="F60" t="s">
        <v>116</v>
      </c>
      <c r="I60">
        <f>FIND("k",F60)</f>
        <v>3</v>
      </c>
    </row>
    <row r="62" spans="3:9">
      <c r="C62" t="s">
        <v>136</v>
      </c>
      <c r="F62" t="s">
        <v>145</v>
      </c>
      <c r="I62">
        <f>SEARCH("analyst",F62)</f>
        <v>5</v>
      </c>
    </row>
    <row r="64" spans="3:9">
      <c r="C64" t="s">
        <v>137</v>
      </c>
      <c r="F64" t="s">
        <v>151</v>
      </c>
      <c r="I64" t="str">
        <f>REPLACE(F64,7,2,"vi")</f>
        <v>Vaibhavi</v>
      </c>
    </row>
    <row r="66" spans="3:9">
      <c r="C66" t="s">
        <v>138</v>
      </c>
      <c r="F66" t="s">
        <v>150</v>
      </c>
      <c r="I66" t="str">
        <f>SUBSTITUTE(F66,"Analyst","Developer")</f>
        <v>Excel Developer</v>
      </c>
    </row>
    <row r="68" spans="3:9">
      <c r="C68" t="s">
        <v>140</v>
      </c>
      <c r="F68">
        <v>4500</v>
      </c>
      <c r="I68" t="str">
        <f>TEXT(F68,"$0")</f>
        <v>$4500</v>
      </c>
    </row>
    <row r="70" spans="3:9">
      <c r="C70" t="s">
        <v>141</v>
      </c>
      <c r="F70" t="s">
        <v>142</v>
      </c>
      <c r="I70">
        <f>VALUE("500")</f>
        <v>500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6B249-CE15-4DF3-99DD-EEAFC24F2EFA}">
  <dimension ref="A2:H91"/>
  <sheetViews>
    <sheetView tabSelected="1" topLeftCell="A68" workbookViewId="0">
      <selection activeCell="H92" sqref="H92"/>
    </sheetView>
  </sheetViews>
  <sheetFormatPr defaultRowHeight="14.4"/>
  <cols>
    <col min="2" max="2" width="12.77734375" bestFit="1" customWidth="1"/>
    <col min="5" max="5" width="23.88671875" bestFit="1" customWidth="1"/>
    <col min="8" max="8" width="20.33203125" bestFit="1" customWidth="1"/>
  </cols>
  <sheetData>
    <row r="2" spans="1:8">
      <c r="B2" t="s">
        <v>152</v>
      </c>
      <c r="E2" t="s">
        <v>112</v>
      </c>
      <c r="H2" t="s">
        <v>113</v>
      </c>
    </row>
    <row r="3" spans="1:8">
      <c r="A3">
        <v>1</v>
      </c>
      <c r="B3" t="s">
        <v>106</v>
      </c>
      <c r="E3">
        <v>120</v>
      </c>
      <c r="H3">
        <f>SUM(E3,E4,E5,E6)</f>
        <v>820</v>
      </c>
    </row>
    <row r="4" spans="1:8">
      <c r="E4">
        <v>250</v>
      </c>
    </row>
    <row r="5" spans="1:8">
      <c r="E5">
        <v>300</v>
      </c>
    </row>
    <row r="6" spans="1:8">
      <c r="E6">
        <v>150</v>
      </c>
    </row>
    <row r="8" spans="1:8">
      <c r="E8">
        <v>78</v>
      </c>
      <c r="H8">
        <f>SUM(E8,E9,E10,E11)</f>
        <v>341</v>
      </c>
    </row>
    <row r="9" spans="1:8">
      <c r="E9">
        <v>85</v>
      </c>
    </row>
    <row r="10" spans="1:8">
      <c r="E10">
        <v>90</v>
      </c>
    </row>
    <row r="11" spans="1:8">
      <c r="E11">
        <v>88</v>
      </c>
    </row>
    <row r="13" spans="1:8">
      <c r="E13">
        <v>500</v>
      </c>
      <c r="H13">
        <f>SUM(E13:E16)</f>
        <v>1900</v>
      </c>
    </row>
    <row r="14" spans="1:8">
      <c r="E14">
        <v>700</v>
      </c>
    </row>
    <row r="15" spans="1:8">
      <c r="E15">
        <v>300</v>
      </c>
    </row>
    <row r="16" spans="1:8">
      <c r="E16">
        <v>400</v>
      </c>
    </row>
    <row r="18" spans="1:8">
      <c r="A18">
        <v>2</v>
      </c>
      <c r="B18" t="s">
        <v>107</v>
      </c>
      <c r="E18">
        <v>70</v>
      </c>
      <c r="H18">
        <f>AVERAGE(E18:E21)</f>
        <v>85</v>
      </c>
    </row>
    <row r="19" spans="1:8">
      <c r="E19">
        <v>80</v>
      </c>
    </row>
    <row r="20" spans="1:8">
      <c r="E20">
        <v>90</v>
      </c>
    </row>
    <row r="21" spans="1:8">
      <c r="E21">
        <v>100</v>
      </c>
    </row>
    <row r="23" spans="1:8">
      <c r="E23">
        <v>30</v>
      </c>
      <c r="H23">
        <f>AVERAGE(E23:E26)</f>
        <v>30.5</v>
      </c>
    </row>
    <row r="24" spans="1:8">
      <c r="E24">
        <v>32</v>
      </c>
    </row>
    <row r="25" spans="1:8">
      <c r="E25">
        <v>29</v>
      </c>
    </row>
    <row r="26" spans="1:8">
      <c r="E26">
        <v>31</v>
      </c>
    </row>
    <row r="28" spans="1:8">
      <c r="A28">
        <v>3</v>
      </c>
      <c r="B28" t="s">
        <v>71</v>
      </c>
      <c r="E28">
        <v>2000</v>
      </c>
      <c r="H28">
        <f>MAX(E28:E31)</f>
        <v>4000</v>
      </c>
    </row>
    <row r="29" spans="1:8">
      <c r="E29">
        <v>3500</v>
      </c>
    </row>
    <row r="30" spans="1:8">
      <c r="E30">
        <v>4000</v>
      </c>
    </row>
    <row r="31" spans="1:8">
      <c r="E31">
        <v>2800</v>
      </c>
    </row>
    <row r="33" spans="1:8">
      <c r="A33">
        <v>4</v>
      </c>
      <c r="B33" t="s">
        <v>70</v>
      </c>
      <c r="E33">
        <v>88</v>
      </c>
      <c r="H33">
        <f>MIN(E33:E36)</f>
        <v>65</v>
      </c>
    </row>
    <row r="34" spans="1:8">
      <c r="E34">
        <v>76</v>
      </c>
    </row>
    <row r="35" spans="1:8">
      <c r="E35">
        <v>92</v>
      </c>
    </row>
    <row r="36" spans="1:8">
      <c r="E36">
        <v>65</v>
      </c>
    </row>
    <row r="38" spans="1:8">
      <c r="A38">
        <v>5</v>
      </c>
      <c r="B38" t="s">
        <v>110</v>
      </c>
      <c r="E38">
        <v>10</v>
      </c>
      <c r="H38">
        <f>COUNT(E38:E42)</f>
        <v>4</v>
      </c>
    </row>
    <row r="39" spans="1:8">
      <c r="E39">
        <v>20</v>
      </c>
    </row>
    <row r="40" spans="1:8">
      <c r="E40">
        <v>30</v>
      </c>
    </row>
    <row r="41" spans="1:8">
      <c r="E41" t="s">
        <v>140</v>
      </c>
    </row>
    <row r="42" spans="1:8">
      <c r="E42">
        <v>40</v>
      </c>
    </row>
    <row r="45" spans="1:8">
      <c r="A45">
        <v>6</v>
      </c>
      <c r="B45" t="s">
        <v>153</v>
      </c>
      <c r="E45">
        <v>100</v>
      </c>
      <c r="F45">
        <v>2</v>
      </c>
      <c r="H45">
        <f>SUMPRODUCT(E45:E47,F45:F47)</f>
        <v>1400</v>
      </c>
    </row>
    <row r="46" spans="1:8">
      <c r="E46">
        <v>200</v>
      </c>
      <c r="F46">
        <v>3</v>
      </c>
    </row>
    <row r="47" spans="1:8">
      <c r="E47">
        <v>150</v>
      </c>
      <c r="F47">
        <v>4</v>
      </c>
    </row>
    <row r="50" spans="1:8">
      <c r="A50">
        <v>7</v>
      </c>
      <c r="B50" t="s">
        <v>73</v>
      </c>
      <c r="D50" t="s">
        <v>56</v>
      </c>
      <c r="E50">
        <v>85</v>
      </c>
      <c r="H50">
        <f>_xlfn.RANK.AVG(E50,$E$50:$E$53,0)</f>
        <v>3</v>
      </c>
    </row>
    <row r="51" spans="1:8">
      <c r="D51" t="s">
        <v>76</v>
      </c>
      <c r="E51">
        <v>92</v>
      </c>
      <c r="H51">
        <f t="shared" ref="H51:H53" si="0">_xlfn.RANK.AVG(E51,$E$50:$E$53,0)</f>
        <v>1</v>
      </c>
    </row>
    <row r="52" spans="1:8">
      <c r="D52" t="s">
        <v>77</v>
      </c>
      <c r="E52">
        <v>78</v>
      </c>
      <c r="H52">
        <f t="shared" si="0"/>
        <v>4</v>
      </c>
    </row>
    <row r="53" spans="1:8">
      <c r="D53" t="s">
        <v>57</v>
      </c>
      <c r="E53">
        <v>88</v>
      </c>
      <c r="H53">
        <f t="shared" si="0"/>
        <v>2</v>
      </c>
    </row>
    <row r="56" spans="1:8">
      <c r="A56">
        <v>8</v>
      </c>
      <c r="B56" t="s">
        <v>88</v>
      </c>
      <c r="H56">
        <f ca="1">RAND()</f>
        <v>5.1654718094231278E-2</v>
      </c>
    </row>
    <row r="58" spans="1:8">
      <c r="A58">
        <v>9</v>
      </c>
      <c r="B58" t="s">
        <v>154</v>
      </c>
      <c r="H58">
        <f ca="1">RANDBETWEEN(1,20)</f>
        <v>17</v>
      </c>
    </row>
    <row r="60" spans="1:8">
      <c r="E60" t="s">
        <v>155</v>
      </c>
    </row>
    <row r="61" spans="1:8">
      <c r="A61">
        <v>1</v>
      </c>
      <c r="B61" t="s">
        <v>115</v>
      </c>
      <c r="E61" t="s">
        <v>156</v>
      </c>
      <c r="H61" t="str">
        <f>LEFT(E61,4)</f>
        <v>Anal</v>
      </c>
    </row>
    <row r="63" spans="1:8">
      <c r="A63">
        <v>2</v>
      </c>
      <c r="B63" t="s">
        <v>117</v>
      </c>
      <c r="E63" t="s">
        <v>157</v>
      </c>
      <c r="H63" t="str">
        <f>RIGHT(E63,5)</f>
        <v>board</v>
      </c>
    </row>
    <row r="65" spans="1:8">
      <c r="A65">
        <v>3</v>
      </c>
      <c r="B65" t="s">
        <v>118</v>
      </c>
      <c r="E65" t="s">
        <v>158</v>
      </c>
      <c r="H65" t="str">
        <f>MID(E65,5,7)</f>
        <v>Science</v>
      </c>
    </row>
    <row r="67" spans="1:8">
      <c r="A67">
        <v>4</v>
      </c>
      <c r="B67" t="s">
        <v>119</v>
      </c>
      <c r="E67" t="s">
        <v>120</v>
      </c>
      <c r="H67">
        <f>LEN(E67)</f>
        <v>5</v>
      </c>
    </row>
    <row r="69" spans="1:8">
      <c r="A69">
        <v>5</v>
      </c>
      <c r="B69" t="s">
        <v>121</v>
      </c>
      <c r="E69" t="s">
        <v>147</v>
      </c>
      <c r="H69" t="str">
        <f>UPPER(E69)</f>
        <v>DATA ANALYST</v>
      </c>
    </row>
    <row r="71" spans="1:8">
      <c r="A71">
        <v>6</v>
      </c>
      <c r="B71" t="s">
        <v>123</v>
      </c>
      <c r="E71" t="s">
        <v>159</v>
      </c>
      <c r="H71" t="str">
        <f>LOWER(E71)</f>
        <v>excel training</v>
      </c>
    </row>
    <row r="73" spans="1:8">
      <c r="A73">
        <v>7</v>
      </c>
      <c r="B73" t="s">
        <v>125</v>
      </c>
      <c r="E73" t="s">
        <v>160</v>
      </c>
      <c r="H73" t="str">
        <f>PROPER(E73)</f>
        <v>Data Analyst Course</v>
      </c>
    </row>
    <row r="75" spans="1:8">
      <c r="A75">
        <v>8</v>
      </c>
      <c r="B75" t="s">
        <v>127</v>
      </c>
      <c r="E75" t="s">
        <v>161</v>
      </c>
      <c r="H75" t="str">
        <f>TRIM(E75)</f>
        <v>Excel Training</v>
      </c>
    </row>
    <row r="77" spans="1:8">
      <c r="A77">
        <v>9</v>
      </c>
      <c r="B77" t="s">
        <v>129</v>
      </c>
      <c r="D77" t="s">
        <v>132</v>
      </c>
      <c r="E77" t="s">
        <v>133</v>
      </c>
      <c r="H77" t="str">
        <f>_xlfn.CONCAT(D77," ",E77)</f>
        <v>Data Analyst</v>
      </c>
    </row>
    <row r="79" spans="1:8">
      <c r="A79">
        <v>10</v>
      </c>
      <c r="B79" t="s">
        <v>134</v>
      </c>
      <c r="E79" t="s">
        <v>162</v>
      </c>
      <c r="H79">
        <f>FIND("A",E79)</f>
        <v>5</v>
      </c>
    </row>
    <row r="81" spans="1:8">
      <c r="A81">
        <v>11</v>
      </c>
      <c r="B81" t="s">
        <v>136</v>
      </c>
      <c r="E81" t="s">
        <v>116</v>
      </c>
      <c r="H81">
        <f>SEARCH("s",E81)</f>
        <v>1</v>
      </c>
    </row>
    <row r="83" spans="1:8">
      <c r="A83">
        <v>12</v>
      </c>
      <c r="B83" t="s">
        <v>137</v>
      </c>
      <c r="E83" t="s">
        <v>163</v>
      </c>
      <c r="H83" t="str">
        <f>REPLACE(E83,5,3,"456")</f>
        <v>Data456</v>
      </c>
    </row>
    <row r="85" spans="1:8">
      <c r="A85">
        <v>13</v>
      </c>
      <c r="B85" t="s">
        <v>164</v>
      </c>
      <c r="E85" s="30" t="s">
        <v>165</v>
      </c>
      <c r="H85" t="str">
        <f>SUBSTITUTE(E85,"Excel","SQL")</f>
        <v>SQL is good, SQL is easy</v>
      </c>
    </row>
    <row r="87" spans="1:8">
      <c r="A87">
        <v>14</v>
      </c>
      <c r="B87" t="s">
        <v>166</v>
      </c>
      <c r="E87" t="s">
        <v>120</v>
      </c>
      <c r="F87" t="s">
        <v>167</v>
      </c>
      <c r="H87" t="b">
        <f>EXACT(E87,F87)</f>
        <v>0</v>
      </c>
    </row>
    <row r="89" spans="1:8">
      <c r="A89">
        <v>15</v>
      </c>
      <c r="B89" t="s">
        <v>168</v>
      </c>
      <c r="H89" t="str">
        <f>CHAR(65)</f>
        <v>A</v>
      </c>
    </row>
    <row r="91" spans="1:8" ht="28.8">
      <c r="A91">
        <v>16</v>
      </c>
      <c r="B91" t="s">
        <v>169</v>
      </c>
      <c r="E91" s="4" t="s">
        <v>170</v>
      </c>
      <c r="H91" t="str">
        <f>CLEAN(E91)</f>
        <v>DataAnalayst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Day 3</vt:lpstr>
      <vt:lpstr>Day 4</vt:lpstr>
      <vt:lpstr>maths basic</vt:lpstr>
      <vt:lpstr>Day 5</vt:lpstr>
      <vt:lpstr>Re-Practice All</vt:lpstr>
      <vt:lpstr>Day 6</vt:lpstr>
      <vt:lpstr>Sheet1</vt:lpstr>
      <vt:lpstr>String Function</vt:lpstr>
      <vt:lpstr>Re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2026-02-27T11:08:41Z</dcterms:created>
  <dcterms:modified xsi:type="dcterms:W3CDTF">2026-03-10T12:24:01Z</dcterms:modified>
</cp:coreProperties>
</file>